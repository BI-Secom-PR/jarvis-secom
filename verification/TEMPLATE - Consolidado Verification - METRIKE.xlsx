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SSD_CESAR/Developer/Secom/oracle/jarvis_ui/verification/"/>
    </mc:Choice>
  </mc:AlternateContent>
  <xr:revisionPtr revIDLastSave="0" documentId="13_ncr:1_{F46572E8-9686-684A-A60C-7F4EA9CB6BFA}" xr6:coauthVersionLast="47" xr6:coauthVersionMax="47" xr10:uidLastSave="{00000000-0000-0000-0000-000000000000}"/>
  <bookViews>
    <workbookView xWindow="-36660" yWindow="-3000" windowWidth="28800" windowHeight="17400" xr2:uid="{00000000-000D-0000-FFFF-FFFF00000000}"/>
  </bookViews>
  <sheets>
    <sheet name="Verification - Geral" sheetId="1" r:id="rId1"/>
    <sheet name="Verification por ID - Ger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ZqWEv46Qdx3nB4WuFjYTDw8pOURXHmiEGZbwcVur6I="/>
    </ext>
  </extLst>
</workbook>
</file>

<file path=xl/calcChain.xml><?xml version="1.0" encoding="utf-8"?>
<calcChain xmlns="http://schemas.openxmlformats.org/spreadsheetml/2006/main">
  <c r="S14" i="1" l="1"/>
  <c r="T14" i="1" s="1"/>
  <c r="M14" i="1" s="1"/>
  <c r="L14" i="1"/>
  <c r="J14" i="1"/>
  <c r="H14" i="1"/>
  <c r="F14" i="1"/>
  <c r="S13" i="1"/>
  <c r="T13" i="1" s="1"/>
  <c r="M13" i="1" s="1"/>
  <c r="L13" i="1"/>
  <c r="J13" i="1"/>
  <c r="H13" i="1"/>
  <c r="F13" i="1"/>
  <c r="S12" i="1"/>
  <c r="T12" i="1" s="1"/>
  <c r="M12" i="1" s="1"/>
  <c r="L12" i="1"/>
  <c r="J12" i="1"/>
  <c r="H12" i="1"/>
  <c r="F12" i="1"/>
  <c r="S11" i="1"/>
  <c r="T11" i="1" s="1"/>
  <c r="M11" i="1" s="1"/>
  <c r="L11" i="1"/>
  <c r="J11" i="1"/>
  <c r="H11" i="1"/>
  <c r="F11" i="1"/>
  <c r="S10" i="1"/>
  <c r="T10" i="1" s="1"/>
  <c r="M10" i="1" s="1"/>
  <c r="L10" i="1"/>
  <c r="J10" i="1"/>
  <c r="H10" i="1"/>
  <c r="F10" i="1"/>
  <c r="S9" i="1"/>
  <c r="T9" i="1" s="1"/>
  <c r="M9" i="1" s="1"/>
  <c r="L9" i="1"/>
  <c r="J9" i="1"/>
  <c r="H9" i="1"/>
  <c r="F9" i="1"/>
</calcChain>
</file>

<file path=xl/sharedStrings.xml><?xml version="1.0" encoding="utf-8"?>
<sst xmlns="http://schemas.openxmlformats.org/spreadsheetml/2006/main" count="60" uniqueCount="49">
  <si>
    <t>Cliente</t>
  </si>
  <si>
    <t>SECOM</t>
  </si>
  <si>
    <t>Agência</t>
  </si>
  <si>
    <t>CALIA</t>
  </si>
  <si>
    <t>Campanha</t>
  </si>
  <si>
    <t>POSICIONAMENTO SP</t>
  </si>
  <si>
    <t>Período</t>
  </si>
  <si>
    <t>04/2026</t>
  </si>
  <si>
    <t>Categorias indevidas</t>
  </si>
  <si>
    <t>Conteúdo Sensível | Safeframe | Policial | Teste Banner</t>
  </si>
  <si>
    <t>VERIFICATION</t>
  </si>
  <si>
    <t>Veículo</t>
  </si>
  <si>
    <t>Praça</t>
  </si>
  <si>
    <t>Objetivo de Mídia</t>
  </si>
  <si>
    <t>Contratado</t>
  </si>
  <si>
    <t>Impressões</t>
  </si>
  <si>
    <t>% Entregue</t>
  </si>
  <si>
    <t>Cliques</t>
  </si>
  <si>
    <t>CTR</t>
  </si>
  <si>
    <t>Views</t>
  </si>
  <si>
    <t>VTR</t>
  </si>
  <si>
    <t>VA</t>
  </si>
  <si>
    <t>VA%</t>
  </si>
  <si>
    <t>Entregas Válidas</t>
  </si>
  <si>
    <t>Conteúdo Sensível</t>
  </si>
  <si>
    <t xml:space="preserve">Policial </t>
  </si>
  <si>
    <t>Teste Banner</t>
  </si>
  <si>
    <t>Safeframe</t>
  </si>
  <si>
    <t>Não Classificado</t>
  </si>
  <si>
    <t>% Indevidas</t>
  </si>
  <si>
    <t>Total Indevidas</t>
  </si>
  <si>
    <t>Data Inicial</t>
  </si>
  <si>
    <t>Data Final</t>
  </si>
  <si>
    <t>Devolutiva BI SECOM</t>
  </si>
  <si>
    <t>URL info</t>
  </si>
  <si>
    <t>Devolutiva Agência</t>
  </si>
  <si>
    <t>BRASIL 247</t>
  </si>
  <si>
    <t>SP</t>
  </si>
  <si>
    <t>CPM</t>
  </si>
  <si>
    <t>Brasil de Fato</t>
  </si>
  <si>
    <t>DCM</t>
  </si>
  <si>
    <t>Opera Mundi</t>
  </si>
  <si>
    <t>PORTAL REVISTA FORUM</t>
  </si>
  <si>
    <t>Revista Carta Capital</t>
  </si>
  <si>
    <t>Veículo/ID</t>
  </si>
  <si>
    <t>Válido</t>
  </si>
  <si>
    <t>Impróprios</t>
  </si>
  <si>
    <t>Indeterminados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</si>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</sst>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E4057"/>
        <bgColor rgb="FF2E4057"/>
      </patternFill>
    </fill>
    <fill>
      <patternFill patternType="solid">
        <fgColor rgb="FFD9EAD3"/>
        <bgColor rgb="FFD9EAD3"/>
      </patternFill>
    </fill>
    <fill>
      <patternFill patternType="solid">
        <fgColor rgb="FFEBEBEB"/>
        <bgColor rgb="FFEBEBEB"/>
      </patternFill>
    </fill>
    <fill>
      <patternFill patternType="solid">
        <fgColor rgb="FFC5D9F5"/>
        <bgColor rgb="FFC5D9F5"/>
      </patternFill>
    </fill>
    <fill>
      <patternFill patternType="solid">
        <fgColor rgb="FFFFF3CC"/>
        <bgColor rgb="FFFFF3CC"/>
      </patternFill>
    </fill>
    <fill>
      <patternFill patternType="solid">
        <fgColor rgb="FFFFE5A0"/>
        <bgColor rgb="FFFFE5A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2" borderId="1" xfId="0" applyFont="1" applyFill="1" applyBorder="1"/>
    <xf numFmtId="0" fontId="6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/>
    </xf>
    <xf numFmtId="3" fontId="8" fillId="4" borderId="4" xfId="0" applyNumberFormat="1" applyFont="1" applyFill="1" applyBorder="1" applyAlignment="1">
      <alignment horizontal="center" vertical="center"/>
    </xf>
    <xf numFmtId="10" fontId="8" fillId="4" borderId="4" xfId="0" applyNumberFormat="1" applyFont="1" applyFill="1" applyBorder="1" applyAlignment="1">
      <alignment horizontal="center" vertical="center"/>
    </xf>
    <xf numFmtId="10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/>
    </xf>
    <xf numFmtId="164" fontId="8" fillId="7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/>
    </xf>
    <xf numFmtId="3" fontId="8" fillId="4" borderId="0" xfId="0" applyNumberFormat="1" applyFont="1" applyFill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3" fontId="9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10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5"/>
  <sheetViews>
    <sheetView tabSelected="1" workbookViewId="0">
      <pane xSplit="1" topLeftCell="I1" activePane="topRight" state="frozen"/>
      <selection pane="topRight" activeCell="P16" sqref="P16"/>
    </sheetView>
  </sheetViews>
  <sheetFormatPr baseColWidth="10" defaultColWidth="14.5" defaultRowHeight="15" customHeight="1" x14ac:dyDescent="0.2"/>
  <cols>
    <col min="1" max="1" width="30" customWidth="1"/>
    <col min="2" max="2" width="9.33203125" customWidth="1"/>
    <col min="3" max="3" width="14" customWidth="1"/>
    <col min="4" max="4" width="20.5" customWidth="1"/>
    <col min="5" max="5" width="19.83203125" customWidth="1"/>
    <col min="6" max="6" width="11.83203125" customWidth="1"/>
    <col min="7" max="7" width="10" customWidth="1"/>
    <col min="8" max="8" width="8" customWidth="1"/>
    <col min="9" max="9" width="10" customWidth="1"/>
    <col min="10" max="10" width="8.83203125" customWidth="1"/>
    <col min="11" max="11" width="12" customWidth="1"/>
    <col min="12" max="13" width="14" customWidth="1"/>
    <col min="14" max="14" width="20" customWidth="1"/>
    <col min="15" max="15" width="16.6640625" customWidth="1"/>
    <col min="16" max="16" width="29.83203125" customWidth="1"/>
    <col min="17" max="17" width="12" customWidth="1"/>
    <col min="18" max="18" width="14.6640625" customWidth="1"/>
    <col min="19" max="19" width="12" customWidth="1"/>
    <col min="20" max="20" width="14" customWidth="1"/>
    <col min="21" max="22" width="12" customWidth="1"/>
    <col min="23" max="24" width="40" customWidth="1"/>
    <col min="25" max="25" width="35" customWidth="1"/>
  </cols>
  <sheetData>
    <row r="1" spans="1:25" ht="16" x14ac:dyDescent="0.2">
      <c r="A1" s="1" t="s">
        <v>0</v>
      </c>
      <c r="B1" s="2" t="s">
        <v>1</v>
      </c>
    </row>
    <row r="2" spans="1:25" ht="16" x14ac:dyDescent="0.2">
      <c r="A2" s="1" t="s">
        <v>2</v>
      </c>
      <c r="B2" s="2" t="s">
        <v>3</v>
      </c>
    </row>
    <row r="3" spans="1:25" ht="16" x14ac:dyDescent="0.2">
      <c r="A3" s="1" t="s">
        <v>4</v>
      </c>
      <c r="B3" s="2" t="s">
        <v>5</v>
      </c>
    </row>
    <row r="4" spans="1:25" ht="16" x14ac:dyDescent="0.2">
      <c r="A4" s="1" t="s">
        <v>6</v>
      </c>
      <c r="B4" s="3" t="s">
        <v>7</v>
      </c>
    </row>
    <row r="5" spans="1:25" ht="16" x14ac:dyDescent="0.2">
      <c r="A5" s="1" t="s">
        <v>8</v>
      </c>
      <c r="B5" s="2" t="s">
        <v>9</v>
      </c>
    </row>
    <row r="7" spans="1:25" ht="21.75" customHeight="1" x14ac:dyDescent="0.2">
      <c r="A7" s="4"/>
      <c r="B7" s="38" t="s">
        <v>10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 ht="45.75" customHeight="1" x14ac:dyDescent="0.2">
      <c r="A8" s="5" t="s">
        <v>11</v>
      </c>
      <c r="B8" s="5" t="s">
        <v>12</v>
      </c>
      <c r="C8" s="6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7" t="s">
        <v>18</v>
      </c>
      <c r="I8" s="5" t="s">
        <v>19</v>
      </c>
      <c r="J8" s="7" t="s">
        <v>20</v>
      </c>
      <c r="K8" s="5" t="s">
        <v>21</v>
      </c>
      <c r="L8" s="7" t="s">
        <v>22</v>
      </c>
      <c r="M8" s="7" t="s">
        <v>23</v>
      </c>
      <c r="N8" s="8" t="s">
        <v>24</v>
      </c>
      <c r="O8" s="8" t="s">
        <v>25</v>
      </c>
      <c r="P8" s="8" t="s">
        <v>27</v>
      </c>
      <c r="Q8" s="8" t="s">
        <v>26</v>
      </c>
      <c r="R8" s="8" t="s">
        <v>28</v>
      </c>
      <c r="S8" s="7" t="s">
        <v>29</v>
      </c>
      <c r="T8" s="7" t="s">
        <v>30</v>
      </c>
      <c r="U8" s="9" t="s">
        <v>31</v>
      </c>
      <c r="V8" s="9" t="s">
        <v>32</v>
      </c>
      <c r="W8" s="8" t="s">
        <v>33</v>
      </c>
      <c r="X8" s="8" t="s">
        <v>34</v>
      </c>
      <c r="Y8" s="10" t="s">
        <v>35</v>
      </c>
    </row>
    <row r="9" spans="1:25" ht="16" x14ac:dyDescent="0.2">
      <c r="A9" s="11" t="s">
        <v>36</v>
      </c>
      <c r="B9" s="12" t="s">
        <v>37</v>
      </c>
      <c r="C9" s="13" t="s">
        <v>38</v>
      </c>
      <c r="D9" s="14">
        <v>790576</v>
      </c>
      <c r="E9" s="14">
        <v>1016191</v>
      </c>
      <c r="F9" s="15">
        <f t="shared" ref="F9:F14" si="0">IF(D9&lt;&gt;"",E9/D9,"")</f>
        <v>1.2853805326749104</v>
      </c>
      <c r="G9" s="14">
        <v>212</v>
      </c>
      <c r="H9" s="16">
        <f t="shared" ref="H9:H14" si="1">IF(E9&lt;&gt;"",G9/E9,"")</f>
        <v>2.0862219799230657E-4</v>
      </c>
      <c r="I9" s="14">
        <v>966090</v>
      </c>
      <c r="J9" s="16">
        <f t="shared" ref="J9:J14" si="2">IF(AND(I9&lt;&gt;"",E9&lt;&gt;""),I9/E9,"")</f>
        <v>0.95069726065277094</v>
      </c>
      <c r="K9" s="14">
        <v>966090</v>
      </c>
      <c r="L9" s="16">
        <f t="shared" ref="L9:L14" si="3">IF(K9 &lt;&gt; "", K9/E9, "")</f>
        <v>0.95069726065277094</v>
      </c>
      <c r="M9" s="17">
        <f>IF(I9&lt;&gt;"",I9-T9,E9-T9)</f>
        <v>960627</v>
      </c>
      <c r="N9" s="18">
        <v>182</v>
      </c>
      <c r="O9" s="18">
        <v>5281</v>
      </c>
      <c r="P9" s="18">
        <v>67</v>
      </c>
      <c r="Q9" s="18">
        <v>0</v>
      </c>
      <c r="R9" s="18"/>
      <c r="S9" s="16">
        <f>IF(I9&lt;&gt;"",(N9+O9+Q9+R9)/I9,IF(E9&lt;&gt;"",(N9+O9+Q9+R9)/E9,""))</f>
        <v>5.6547526627953914E-3</v>
      </c>
      <c r="T9" s="17">
        <f>IF(S9&lt;&gt;"",N9+O9+Q9+R9,"")</f>
        <v>5463</v>
      </c>
      <c r="U9" s="19">
        <v>46129</v>
      </c>
      <c r="V9" s="19">
        <v>46142</v>
      </c>
      <c r="W9" s="20"/>
      <c r="X9" s="20"/>
      <c r="Y9" s="21"/>
    </row>
    <row r="10" spans="1:25" ht="16" x14ac:dyDescent="0.2">
      <c r="A10" s="11" t="s">
        <v>39</v>
      </c>
      <c r="B10" s="12" t="s">
        <v>37</v>
      </c>
      <c r="C10" s="13" t="s">
        <v>38</v>
      </c>
      <c r="D10" s="14">
        <v>601250</v>
      </c>
      <c r="E10" s="14">
        <v>21376</v>
      </c>
      <c r="F10" s="15">
        <f t="shared" si="0"/>
        <v>3.5552598752598752E-2</v>
      </c>
      <c r="G10" s="14">
        <v>66</v>
      </c>
      <c r="H10" s="16">
        <f t="shared" si="1"/>
        <v>3.0875748502994012E-3</v>
      </c>
      <c r="I10" s="14">
        <v>16062</v>
      </c>
      <c r="J10" s="16">
        <f t="shared" si="2"/>
        <v>0.7514034431137725</v>
      </c>
      <c r="K10" s="14">
        <v>16062</v>
      </c>
      <c r="L10" s="16">
        <f t="shared" si="3"/>
        <v>0.7514034431137725</v>
      </c>
      <c r="M10" s="17">
        <f>IF(I10&lt;&gt;"",I10-T10,E10-T10)</f>
        <v>14749</v>
      </c>
      <c r="N10" s="18">
        <v>28</v>
      </c>
      <c r="O10" s="18">
        <v>1285</v>
      </c>
      <c r="P10" s="18">
        <v>1563</v>
      </c>
      <c r="Q10" s="18">
        <v>0</v>
      </c>
      <c r="R10" s="18"/>
      <c r="S10" s="16">
        <f>IF(I10&lt;&gt;"",(N10+O10+Q10+R10)/I10,IF(E10&lt;&gt;"",(N10+O10+Q10+R10)/E10,""))</f>
        <v>8.1745735275806253E-2</v>
      </c>
      <c r="T10" s="17">
        <f>IF(S10&lt;&gt;"",N10+O10+Q10+R10,"")</f>
        <v>1313</v>
      </c>
      <c r="U10" s="19">
        <v>46129</v>
      </c>
      <c r="V10" s="19">
        <v>46142</v>
      </c>
      <c r="W10" s="20"/>
      <c r="X10" s="20"/>
      <c r="Y10" s="21"/>
    </row>
    <row r="11" spans="1:25" ht="16" x14ac:dyDescent="0.2">
      <c r="A11" s="11" t="s">
        <v>40</v>
      </c>
      <c r="B11" s="12" t="s">
        <v>37</v>
      </c>
      <c r="C11" s="22" t="s">
        <v>38</v>
      </c>
      <c r="D11" s="14">
        <v>375781</v>
      </c>
      <c r="E11" s="14">
        <v>366160</v>
      </c>
      <c r="F11" s="15">
        <f t="shared" si="0"/>
        <v>0.97439732184437211</v>
      </c>
      <c r="G11" s="14">
        <v>560</v>
      </c>
      <c r="H11" s="16">
        <f t="shared" si="1"/>
        <v>1.529386060738475E-3</v>
      </c>
      <c r="I11" s="14">
        <v>325866</v>
      </c>
      <c r="J11" s="16">
        <f t="shared" si="2"/>
        <v>0.88995521083679263</v>
      </c>
      <c r="K11" s="14">
        <v>325866</v>
      </c>
      <c r="L11" s="16">
        <f t="shared" si="3"/>
        <v>0.88995521083679263</v>
      </c>
      <c r="M11" s="17">
        <f>IF(I11&lt;&gt;"",I11-T11,E11-T11)</f>
        <v>310930</v>
      </c>
      <c r="N11" s="18">
        <v>1802</v>
      </c>
      <c r="O11" s="18">
        <v>13134</v>
      </c>
      <c r="P11" s="18">
        <v>17</v>
      </c>
      <c r="Q11" s="18">
        <v>0</v>
      </c>
      <c r="R11" s="18"/>
      <c r="S11" s="16">
        <f>IF(I11&lt;&gt;"",(N11+O11+Q11+R11)/I11,IF(E11&lt;&gt;"",(N11+O11+Q11+R11)/E11,""))</f>
        <v>4.5834790987706604E-2</v>
      </c>
      <c r="T11" s="17">
        <f>IF(S11&lt;&gt;"",N11+O11+Q11+R11,"")</f>
        <v>14936</v>
      </c>
      <c r="U11" s="19">
        <v>46129</v>
      </c>
      <c r="V11" s="19">
        <v>46142</v>
      </c>
      <c r="W11" s="20"/>
      <c r="X11" s="20"/>
      <c r="Y11" s="21"/>
    </row>
    <row r="12" spans="1:25" ht="16" x14ac:dyDescent="0.2">
      <c r="A12" s="23" t="s">
        <v>41</v>
      </c>
      <c r="B12" s="12" t="s">
        <v>37</v>
      </c>
      <c r="C12" s="24" t="s">
        <v>38</v>
      </c>
      <c r="D12" s="25">
        <v>141826</v>
      </c>
      <c r="E12" s="25">
        <v>95455</v>
      </c>
      <c r="F12" s="15">
        <f t="shared" si="0"/>
        <v>0.67304302455121068</v>
      </c>
      <c r="G12" s="25">
        <v>121</v>
      </c>
      <c r="H12" s="16">
        <f t="shared" si="1"/>
        <v>1.2676130113666126E-3</v>
      </c>
      <c r="I12" s="25">
        <v>63643</v>
      </c>
      <c r="J12" s="16">
        <f t="shared" si="2"/>
        <v>0.66673301555706876</v>
      </c>
      <c r="K12" s="25">
        <v>63643</v>
      </c>
      <c r="L12" s="16">
        <f t="shared" si="3"/>
        <v>0.66673301555706876</v>
      </c>
      <c r="M12" s="17">
        <f>IF(I12&lt;&gt;"",I12-T12,E12-T12)</f>
        <v>63557</v>
      </c>
      <c r="N12" s="26">
        <v>10</v>
      </c>
      <c r="O12" s="26">
        <v>76</v>
      </c>
      <c r="P12" s="26"/>
      <c r="Q12" s="26"/>
      <c r="R12" s="26"/>
      <c r="S12" s="16">
        <f>IF(I12&lt;&gt;"",(N12+O12+Q12+R12)/I12,IF(E12&lt;&gt;"",(N12+O12+Q12+R12)/E12,""))</f>
        <v>1.3512876514306365E-3</v>
      </c>
      <c r="T12" s="17">
        <f>IF(S12&lt;&gt;"",N12+O12+Q12+R12,"")</f>
        <v>86</v>
      </c>
      <c r="U12" s="27"/>
      <c r="V12" s="27"/>
      <c r="W12" s="28"/>
      <c r="X12" s="28"/>
      <c r="Y12" s="29"/>
    </row>
    <row r="13" spans="1:25" ht="16" x14ac:dyDescent="0.2">
      <c r="A13" s="23" t="s">
        <v>42</v>
      </c>
      <c r="B13" s="12" t="s">
        <v>37</v>
      </c>
      <c r="C13" s="24" t="s">
        <v>38</v>
      </c>
      <c r="D13" s="25">
        <v>650252</v>
      </c>
      <c r="E13" s="25">
        <v>572418</v>
      </c>
      <c r="F13" s="15">
        <f t="shared" si="0"/>
        <v>0.88030179069037851</v>
      </c>
      <c r="G13" s="25">
        <v>1801</v>
      </c>
      <c r="H13" s="16">
        <f t="shared" si="1"/>
        <v>3.1463021777791752E-3</v>
      </c>
      <c r="I13" s="25">
        <v>376111</v>
      </c>
      <c r="J13" s="16">
        <f t="shared" si="2"/>
        <v>0.65705655657229511</v>
      </c>
      <c r="K13" s="25">
        <v>376111</v>
      </c>
      <c r="L13" s="16">
        <f t="shared" si="3"/>
        <v>0.65705655657229511</v>
      </c>
      <c r="M13" s="17">
        <f>IF(I13&lt;&gt;"",I13-T13,E13-T13)</f>
        <v>376111</v>
      </c>
      <c r="N13" s="26"/>
      <c r="O13" s="26"/>
      <c r="P13" s="26"/>
      <c r="Q13" s="26"/>
      <c r="R13" s="26"/>
      <c r="S13" s="16">
        <f>IF(I13&lt;&gt;"",(N13+O13+Q13+R13)/I13,IF(E13&lt;&gt;"",(N13+O13+Q13+R13)/E13,""))</f>
        <v>0</v>
      </c>
      <c r="T13" s="17">
        <f>IF(S13&lt;&gt;"",N13+O13+Q13+R13,"")</f>
        <v>0</v>
      </c>
      <c r="U13" s="27"/>
      <c r="V13" s="27"/>
      <c r="W13" s="28"/>
      <c r="X13" s="28"/>
      <c r="Y13" s="29"/>
    </row>
    <row r="14" spans="1:25" ht="16" x14ac:dyDescent="0.2">
      <c r="A14" s="23" t="s">
        <v>43</v>
      </c>
      <c r="B14" s="12" t="s">
        <v>37</v>
      </c>
      <c r="C14" s="24" t="s">
        <v>38</v>
      </c>
      <c r="D14" s="25">
        <v>649797</v>
      </c>
      <c r="E14" s="25">
        <v>663864</v>
      </c>
      <c r="F14" s="15">
        <f t="shared" si="0"/>
        <v>1.021648299391964</v>
      </c>
      <c r="G14" s="25">
        <v>629</v>
      </c>
      <c r="H14" s="16">
        <f t="shared" si="1"/>
        <v>9.4748321945458704E-4</v>
      </c>
      <c r="I14" s="25">
        <v>544821</v>
      </c>
      <c r="J14" s="16">
        <f t="shared" si="2"/>
        <v>0.82068164563826329</v>
      </c>
      <c r="K14" s="25">
        <v>544821</v>
      </c>
      <c r="L14" s="16">
        <f t="shared" si="3"/>
        <v>0.82068164563826329</v>
      </c>
      <c r="M14" s="17">
        <f>IF(I14&lt;&gt;"",I14-T14,E14-T14)</f>
        <v>544821</v>
      </c>
      <c r="N14" s="26"/>
      <c r="O14" s="26"/>
      <c r="P14" s="26"/>
      <c r="Q14" s="26"/>
      <c r="R14" s="26"/>
      <c r="S14" s="16">
        <f>IF(I14&lt;&gt;"",(N14+O14+Q14+R14)/I14,IF(E14&lt;&gt;"",(N14+O14+Q14+R14)/E14,""))</f>
        <v>0</v>
      </c>
      <c r="T14" s="17">
        <f>IF(S14&lt;&gt;"",N14+O14+Q14+R14,"")</f>
        <v>0</v>
      </c>
      <c r="U14" s="27"/>
      <c r="V14" s="27"/>
      <c r="W14" s="28"/>
      <c r="X14" s="28"/>
      <c r="Y14" s="29"/>
    </row>
    <row r="16" spans="1:25" ht="15.75" customHeight="1" x14ac:dyDescent="0.2"/>
    <row r="17" spans="5:6" ht="15.75" customHeight="1" x14ac:dyDescent="0.2"/>
    <row r="18" spans="5:6" ht="15.75" customHeight="1" x14ac:dyDescent="0.2"/>
    <row r="19" spans="5:6" ht="15.75" customHeight="1" x14ac:dyDescent="0.2">
      <c r="E19" s="30"/>
      <c r="F19" s="30"/>
    </row>
    <row r="20" spans="5:6" ht="15.75" customHeight="1" x14ac:dyDescent="0.2"/>
    <row r="21" spans="5:6" ht="15.75" customHeight="1" x14ac:dyDescent="0.2"/>
    <row r="22" spans="5:6" ht="15.75" customHeight="1" x14ac:dyDescent="0.2"/>
    <row r="23" spans="5:6" ht="15.75" customHeight="1" x14ac:dyDescent="0.2"/>
    <row r="24" spans="5:6" ht="15.75" customHeight="1" x14ac:dyDescent="0.2"/>
    <row r="25" spans="5:6" ht="15.75" customHeight="1" x14ac:dyDescent="0.2"/>
    <row r="26" spans="5:6" ht="15.75" customHeight="1" x14ac:dyDescent="0.2"/>
    <row r="27" spans="5:6" ht="15.75" customHeight="1" x14ac:dyDescent="0.2"/>
    <row r="28" spans="5:6" ht="15.75" customHeight="1" x14ac:dyDescent="0.2"/>
    <row r="29" spans="5:6" ht="15.75" customHeight="1" x14ac:dyDescent="0.2"/>
    <row r="30" spans="5:6" ht="15.75" customHeight="1" x14ac:dyDescent="0.2"/>
    <row r="31" spans="5:6" ht="15.75" customHeight="1" x14ac:dyDescent="0.2"/>
    <row r="32" spans="5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">
    <mergeCell ref="B7:Y7"/>
  </mergeCells>
  <dataValidations count="1">
    <dataValidation type="list" allowBlank="1" sqref="C9:C14" xr:uid="{00000000-0002-0000-0000-000000000000}">
      <formula1>"CPM,CPV,CPC,CPCV"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7.6640625" customWidth="1"/>
    <col min="2" max="2" width="10" customWidth="1"/>
    <col min="3" max="3" width="16.1640625" customWidth="1"/>
    <col min="4" max="4" width="17.33203125" customWidth="1"/>
    <col min="5" max="5" width="20.83203125" customWidth="1"/>
    <col min="6" max="6" width="12.33203125" customWidth="1"/>
    <col min="7" max="26" width="21.1640625" customWidth="1"/>
  </cols>
  <sheetData>
    <row r="1" spans="1:26" ht="30" customHeight="1" x14ac:dyDescent="0.2">
      <c r="A1" s="31" t="s">
        <v>44</v>
      </c>
      <c r="B1" s="31" t="s">
        <v>45</v>
      </c>
      <c r="C1" s="31" t="s">
        <v>46</v>
      </c>
      <c r="D1" s="31" t="s">
        <v>27</v>
      </c>
      <c r="E1" s="31" t="s">
        <v>47</v>
      </c>
      <c r="F1" s="31" t="s">
        <v>48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6" x14ac:dyDescent="0.2">
      <c r="A2" s="33"/>
      <c r="B2" s="34"/>
      <c r="C2" s="34"/>
      <c r="D2" s="17"/>
      <c r="E2" s="17"/>
      <c r="F2" s="16"/>
      <c r="G2" s="35"/>
      <c r="H2" s="36"/>
      <c r="I2" s="35"/>
      <c r="J2" s="36"/>
      <c r="K2" s="35"/>
      <c r="L2" s="36"/>
      <c r="M2" s="35"/>
      <c r="N2" s="35"/>
      <c r="O2" s="35"/>
      <c r="P2" s="35"/>
      <c r="Q2" s="35"/>
      <c r="R2" s="35"/>
      <c r="S2" s="35"/>
      <c r="T2" s="35"/>
      <c r="U2" s="35"/>
      <c r="V2" s="36"/>
      <c r="W2" s="35"/>
      <c r="X2" s="36"/>
      <c r="Y2" s="37"/>
      <c r="Z2" s="37"/>
    </row>
    <row r="3" spans="1:26" ht="16" x14ac:dyDescent="0.2">
      <c r="A3" s="33"/>
      <c r="B3" s="34"/>
      <c r="C3" s="34"/>
      <c r="D3" s="17"/>
      <c r="E3" s="17"/>
      <c r="F3" s="16"/>
      <c r="G3" s="35"/>
      <c r="H3" s="36"/>
      <c r="I3" s="35"/>
      <c r="J3" s="36"/>
      <c r="K3" s="35"/>
      <c r="L3" s="36"/>
      <c r="M3" s="35"/>
      <c r="N3" s="35"/>
      <c r="O3" s="35"/>
      <c r="P3" s="35"/>
      <c r="Q3" s="35"/>
      <c r="R3" s="35"/>
      <c r="S3" s="35"/>
      <c r="T3" s="35"/>
      <c r="U3" s="35"/>
      <c r="V3" s="36"/>
      <c r="W3" s="35"/>
      <c r="X3" s="36"/>
      <c r="Y3" s="37"/>
      <c r="Z3" s="37"/>
    </row>
    <row r="4" spans="1:26" ht="16" x14ac:dyDescent="0.2">
      <c r="A4" s="33"/>
      <c r="B4" s="34"/>
      <c r="C4" s="34"/>
      <c r="D4" s="17"/>
      <c r="E4" s="17"/>
      <c r="F4" s="16"/>
      <c r="G4" s="35"/>
      <c r="H4" s="36"/>
      <c r="I4" s="35"/>
      <c r="J4" s="36"/>
      <c r="K4" s="35"/>
      <c r="L4" s="36"/>
      <c r="M4" s="35"/>
      <c r="N4" s="35"/>
      <c r="O4" s="35"/>
      <c r="P4" s="35"/>
      <c r="Q4" s="35"/>
      <c r="R4" s="35"/>
      <c r="S4" s="35"/>
      <c r="T4" s="35"/>
      <c r="U4" s="35"/>
      <c r="V4" s="36"/>
      <c r="W4" s="35"/>
      <c r="X4" s="36"/>
      <c r="Y4" s="37"/>
      <c r="Z4" s="3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qref="C2:C4" xr:uid="{00000000-0002-0000-0100-000000000000}">
      <formula1>"CPM,CPV,CPC,Diária,Mensal,Período,Quinzenal"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- Geral</vt:lpstr>
      <vt:lpstr>Verification por ID -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dcterms:created xsi:type="dcterms:W3CDTF">2026-03-23T21:08:00Z</dcterms:created>
  <dcterms:modified xsi:type="dcterms:W3CDTF">2026-05-22T15:36:05Z</dcterms:modified>
</cp:coreProperties>
</file>
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SSD_CESAR/Developer/Secom/oracle/jarvis_ui/verification/"/>
    </mc:Choice>
  </mc:AlternateContent>
  <xr:revisionPtr revIDLastSave="0" documentId="13_ncr:1_{1FCA943C-7275-204C-BA7C-5608FD9A2BB4}" xr6:coauthVersionLast="47" xr6:coauthVersionMax="47" xr10:uidLastSave="{00000000-0000-0000-0000-000000000000}"/>
  <bookViews>
    <workbookView xWindow="-38240" yWindow="-2840" windowWidth="38080" windowHeight="20680" xr2:uid="{00000000-000D-0000-FFFF-FFFF00000000}"/>
  </bookViews>
  <sheets>
    <sheet name="Verification - Geral" sheetId="1" r:id="rId1"/>
    <sheet name="Verification por ID - Ger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UXc0Q1upXcmywobrE1LgzDdwAL6ya3xNx30QYueUcA="/>
    </ext>
  </extLst>
</workbook>
</file>

<file path=xl/calcChain.xml><?xml version="1.0" encoding="utf-8"?>
<calcChain xmlns="http://schemas.openxmlformats.org/spreadsheetml/2006/main">
  <c r="Q10" i="1" l="1"/>
  <c r="Q11" i="1"/>
  <c r="Q12" i="1"/>
  <c r="Q13" i="1"/>
  <c r="Q14" i="1"/>
  <c r="Q15" i="1"/>
  <c r="Q16" i="1"/>
  <c r="Q9" i="1"/>
  <c r="Y15" i="1"/>
  <c r="Y16" i="1"/>
  <c r="Z16" i="1" s="1"/>
  <c r="Y9" i="1"/>
  <c r="Z9" i="1" s="1"/>
  <c r="Y10" i="1"/>
  <c r="Y11" i="1"/>
  <c r="Z11" i="1" s="1"/>
  <c r="Y12" i="1"/>
  <c r="Z12" i="1" s="1"/>
  <c r="Y13" i="1"/>
  <c r="Z13" i="1" s="1"/>
  <c r="Y14" i="1"/>
  <c r="Z14" i="1" s="1"/>
  <c r="P15" i="1"/>
  <c r="P16" i="1"/>
  <c r="P9" i="1"/>
  <c r="P10" i="1"/>
  <c r="P11" i="1"/>
  <c r="P12" i="1"/>
  <c r="P13" i="1"/>
  <c r="P14" i="1"/>
  <c r="H15" i="1"/>
  <c r="H16" i="1"/>
  <c r="H9" i="1"/>
  <c r="H10" i="1"/>
  <c r="H11" i="1"/>
  <c r="H12" i="1"/>
  <c r="H13" i="1"/>
  <c r="H14" i="1"/>
  <c r="F16" i="1"/>
  <c r="L16" i="1"/>
  <c r="M16" i="1"/>
  <c r="N16" i="1"/>
  <c r="Z15" i="1"/>
  <c r="L14" i="1"/>
  <c r="M14" i="1"/>
  <c r="N14" i="1"/>
  <c r="L15" i="1"/>
  <c r="M15" i="1"/>
  <c r="N15" i="1"/>
  <c r="F14" i="1"/>
  <c r="F15" i="1"/>
  <c r="N10" i="1"/>
  <c r="N11" i="1"/>
  <c r="N12" i="1"/>
  <c r="N13" i="1"/>
  <c r="N9" i="1"/>
  <c r="M10" i="1"/>
  <c r="M11" i="1"/>
  <c r="M12" i="1"/>
  <c r="M13" i="1"/>
  <c r="M9" i="1"/>
  <c r="L10" i="1"/>
  <c r="L11" i="1"/>
  <c r="L12" i="1"/>
  <c r="L13" i="1"/>
  <c r="L9" i="1"/>
  <c r="F9" i="1"/>
  <c r="F10" i="1"/>
  <c r="F11" i="1"/>
  <c r="F12" i="1"/>
  <c r="F13" i="1"/>
  <c r="Z10" i="1" l="1"/>
</calcChain>
</file>

<file path=xl/sharedStrings.xml><?xml version="1.0" encoding="utf-8"?>
<sst xmlns="http://schemas.openxmlformats.org/spreadsheetml/2006/main" count="48" uniqueCount="47">
  <si>
    <t>Cliente</t>
  </si>
  <si>
    <t>SECOM</t>
  </si>
  <si>
    <t>Agência</t>
  </si>
  <si>
    <t>PROPEG</t>
  </si>
  <si>
    <t>Campanha</t>
  </si>
  <si>
    <t>Período</t>
  </si>
  <si>
    <t>Categorias indevidas</t>
  </si>
  <si>
    <t>Acidente | Violência | Língua Estrangeira | Pornografia | Safeframe | Aplicativo Móvel | Teste de Tag | Não Classificado</t>
  </si>
  <si>
    <t>VERIFICATION</t>
  </si>
  <si>
    <t>Veículo</t>
  </si>
  <si>
    <t>Praça</t>
  </si>
  <si>
    <t>Tipo de Compra</t>
  </si>
  <si>
    <t>Contratado</t>
  </si>
  <si>
    <t>Impressões</t>
  </si>
  <si>
    <t>% Entregue</t>
  </si>
  <si>
    <t>Cliques</t>
  </si>
  <si>
    <t>CTR</t>
  </si>
  <si>
    <t>VA</t>
  </si>
  <si>
    <t>VA%</t>
  </si>
  <si>
    <t>Entregas Válidas</t>
  </si>
  <si>
    <t>Acidentes,Violencia,Crime</t>
  </si>
  <si>
    <t>Língua Estrangeira</t>
  </si>
  <si>
    <t>Sexo, Sexualidadem e Pornografia</t>
  </si>
  <si>
    <t>Safeframe</t>
  </si>
  <si>
    <t>Aplicativo Móvel</t>
  </si>
  <si>
    <t>Teste de Tag</t>
  </si>
  <si>
    <t>Não Classificado</t>
  </si>
  <si>
    <t>% Indevidas</t>
  </si>
  <si>
    <t>Total Indevidas</t>
  </si>
  <si>
    <t>Data Inicial</t>
  </si>
  <si>
    <t>Data Final</t>
  </si>
  <si>
    <t>Devolutiva BI SECOM</t>
  </si>
  <si>
    <t>URL info</t>
  </si>
  <si>
    <t>Devolutiva Agência</t>
  </si>
  <si>
    <t>Veículo/ID</t>
  </si>
  <si>
    <t>Válido</t>
  </si>
  <si>
    <t>Impróprios</t>
  </si>
  <si>
    <t>Indeterminados</t>
  </si>
  <si>
    <t>Total</t>
  </si>
  <si>
    <t>Views Start</t>
  </si>
  <si>
    <t>Views 50%</t>
  </si>
  <si>
    <t>Views 100%</t>
  </si>
  <si>
    <t>VTR start</t>
  </si>
  <si>
    <t>VTR 50%</t>
  </si>
  <si>
    <t>VTR 100%</t>
  </si>
  <si>
    <t>POSICIONAMENTO BA</t>
  </si>
  <si>
    <t>MARÇO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</si>
</sst>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2E4057"/>
        <bgColor rgb="FF2E4057"/>
      </patternFill>
    </fill>
    <fill>
      <patternFill patternType="solid">
        <fgColor rgb="FFEBEBEB"/>
        <bgColor rgb="FFEBEBEB"/>
      </patternFill>
    </fill>
    <fill>
      <patternFill patternType="solid">
        <fgColor rgb="FFFDDCB5"/>
        <bgColor rgb="FFFDDCB5"/>
      </patternFill>
    </fill>
    <fill>
      <patternFill patternType="solid">
        <fgColor rgb="FFFFF3CC"/>
        <bgColor rgb="FFFFF3CC"/>
      </patternFill>
    </fill>
    <fill>
      <patternFill patternType="solid">
        <fgColor rgb="FFC5D9F5"/>
        <bgColor rgb="FFC5D9F5"/>
      </patternFill>
    </fill>
    <fill>
      <patternFill patternType="solid">
        <fgColor rgb="FFFFE5A0"/>
        <bgColor rgb="FFFFE5A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2" borderId="1" xfId="0" applyFont="1" applyFill="1" applyBorder="1"/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center" vertical="center"/>
    </xf>
    <xf numFmtId="3" fontId="7" fillId="4" borderId="5" xfId="0" applyNumberFormat="1" applyFont="1" applyFill="1" applyBorder="1" applyAlignment="1">
      <alignment horizontal="center"/>
    </xf>
    <xf numFmtId="3" fontId="7" fillId="5" borderId="5" xfId="0" applyNumberFormat="1" applyFont="1" applyFill="1" applyBorder="1" applyAlignment="1">
      <alignment horizontal="center" vertical="center"/>
    </xf>
    <xf numFmtId="10" fontId="7" fillId="4" borderId="5" xfId="0" applyNumberFormat="1" applyFont="1" applyFill="1" applyBorder="1" applyAlignment="1">
      <alignment horizontal="center" vertical="center"/>
    </xf>
    <xf numFmtId="10" fontId="7" fillId="5" borderId="5" xfId="0" applyNumberFormat="1" applyFont="1" applyFill="1" applyBorder="1" applyAlignment="1">
      <alignment horizontal="center" vertical="center"/>
    </xf>
    <xf numFmtId="3" fontId="7" fillId="6" borderId="5" xfId="0" applyNumberFormat="1" applyFont="1" applyFill="1" applyBorder="1" applyAlignment="1">
      <alignment horizontal="center" vertical="center"/>
    </xf>
    <xf numFmtId="10" fontId="7" fillId="6" borderId="5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3" fontId="7" fillId="4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10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5" borderId="5" xfId="1" applyNumberFormat="1" applyFont="1" applyFill="1" applyBorder="1" applyAlignment="1">
      <alignment horizontal="center" vertical="center"/>
    </xf>
    <xf numFmtId="3" fontId="9" fillId="5" borderId="5" xfId="0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4" fontId="7" fillId="6" borderId="5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89"/>
  <sheetViews>
    <sheetView tabSelected="1" workbookViewId="0">
      <pane xSplit="1" topLeftCell="B1" activePane="topRight" state="frozen"/>
      <selection pane="topRight" activeCell="Q18" sqref="Q18"/>
    </sheetView>
  </sheetViews>
  <sheetFormatPr baseColWidth="10" defaultColWidth="14.5" defaultRowHeight="15" customHeight="1" x14ac:dyDescent="0.2"/>
  <cols>
    <col min="1" max="1" width="30" customWidth="1"/>
    <col min="2" max="2" width="9.5" customWidth="1"/>
    <col min="3" max="5" width="14" customWidth="1"/>
    <col min="6" max="6" width="11.83203125" customWidth="1"/>
    <col min="7" max="7" width="10" customWidth="1"/>
    <col min="8" max="9" width="8" customWidth="1"/>
    <col min="10" max="10" width="12.1640625" bestFit="1" customWidth="1"/>
    <col min="11" max="13" width="10" customWidth="1"/>
    <col min="14" max="14" width="8" customWidth="1"/>
    <col min="15" max="15" width="12" customWidth="1"/>
    <col min="16" max="17" width="14" customWidth="1"/>
    <col min="18" max="18" width="26.5" customWidth="1"/>
    <col min="19" max="19" width="16.6640625" customWidth="1"/>
    <col min="20" max="20" width="29.83203125" customWidth="1"/>
    <col min="21" max="21" width="12" customWidth="1"/>
    <col min="22" max="22" width="15.1640625" customWidth="1"/>
    <col min="23" max="23" width="12" customWidth="1"/>
    <col min="24" max="24" width="14.6640625" customWidth="1"/>
    <col min="25" max="25" width="12" customWidth="1"/>
    <col min="26" max="26" width="14" customWidth="1"/>
    <col min="27" max="28" width="12" customWidth="1"/>
    <col min="29" max="30" width="40" customWidth="1"/>
    <col min="31" max="31" width="35" customWidth="1"/>
  </cols>
  <sheetData>
    <row r="1" spans="1:31" ht="16" x14ac:dyDescent="0.2">
      <c r="A1" s="1" t="s">
        <v>0</v>
      </c>
      <c r="B1" s="2" t="s">
        <v>1</v>
      </c>
    </row>
    <row r="2" spans="1:31" ht="16" x14ac:dyDescent="0.2">
      <c r="A2" s="1" t="s">
        <v>2</v>
      </c>
      <c r="B2" s="2" t="s">
        <v>3</v>
      </c>
    </row>
    <row r="3" spans="1:31" ht="16" x14ac:dyDescent="0.2">
      <c r="A3" s="1" t="s">
        <v>4</v>
      </c>
      <c r="B3" s="2" t="s">
        <v>45</v>
      </c>
    </row>
    <row r="4" spans="1:31" ht="16" x14ac:dyDescent="0.2">
      <c r="A4" s="1" t="s">
        <v>5</v>
      </c>
      <c r="B4" s="3" t="s">
        <v>46</v>
      </c>
    </row>
    <row r="5" spans="1:31" ht="16" x14ac:dyDescent="0.2">
      <c r="A5" s="1" t="s">
        <v>6</v>
      </c>
      <c r="B5" s="2" t="s">
        <v>7</v>
      </c>
    </row>
    <row r="7" spans="1:31" ht="21.75" customHeight="1" x14ac:dyDescent="0.2">
      <c r="A7" s="4"/>
      <c r="B7" s="31" t="s">
        <v>8</v>
      </c>
      <c r="C7" s="32"/>
      <c r="D7" s="32"/>
      <c r="E7" s="32"/>
      <c r="F7" s="32"/>
      <c r="G7" s="32"/>
      <c r="H7" s="32"/>
      <c r="I7" s="33"/>
      <c r="J7" s="33"/>
      <c r="K7" s="32"/>
      <c r="L7" s="33"/>
      <c r="M7" s="33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3"/>
    </row>
    <row r="8" spans="1:31" ht="30" customHeight="1" x14ac:dyDescent="0.2">
      <c r="A8" s="5" t="s">
        <v>9</v>
      </c>
      <c r="B8" s="5" t="s">
        <v>10</v>
      </c>
      <c r="C8" s="5" t="s">
        <v>11</v>
      </c>
      <c r="D8" s="5" t="s">
        <v>12</v>
      </c>
      <c r="E8" s="6" t="s">
        <v>13</v>
      </c>
      <c r="F8" s="5" t="s">
        <v>14</v>
      </c>
      <c r="G8" s="6" t="s">
        <v>15</v>
      </c>
      <c r="H8" s="6" t="s">
        <v>16</v>
      </c>
      <c r="I8" s="6" t="s">
        <v>39</v>
      </c>
      <c r="J8" s="6" t="s">
        <v>40</v>
      </c>
      <c r="K8" s="6" t="s">
        <v>41</v>
      </c>
      <c r="L8" s="6" t="s">
        <v>42</v>
      </c>
      <c r="M8" s="6" t="s">
        <v>43</v>
      </c>
      <c r="N8" s="6" t="s">
        <v>44</v>
      </c>
      <c r="O8" s="6" t="s">
        <v>17</v>
      </c>
      <c r="P8" s="6" t="s">
        <v>18</v>
      </c>
      <c r="Q8" s="6" t="s">
        <v>19</v>
      </c>
      <c r="R8" s="7" t="s">
        <v>20</v>
      </c>
      <c r="S8" s="7" t="s">
        <v>21</v>
      </c>
      <c r="T8" s="7" t="s">
        <v>22</v>
      </c>
      <c r="U8" s="7" t="s">
        <v>23</v>
      </c>
      <c r="V8" s="7" t="s">
        <v>24</v>
      </c>
      <c r="W8" s="7" t="s">
        <v>25</v>
      </c>
      <c r="X8" s="7" t="s">
        <v>26</v>
      </c>
      <c r="Y8" s="7" t="s">
        <v>27</v>
      </c>
      <c r="Z8" s="7" t="s">
        <v>28</v>
      </c>
      <c r="AA8" s="7" t="s">
        <v>29</v>
      </c>
      <c r="AB8" s="7" t="s">
        <v>30</v>
      </c>
      <c r="AC8" s="8" t="s">
        <v>31</v>
      </c>
      <c r="AD8" s="8" t="s">
        <v>32</v>
      </c>
      <c r="AE8" s="9" t="s">
        <v>33</v>
      </c>
    </row>
    <row r="9" spans="1:31" ht="16" x14ac:dyDescent="0.2">
      <c r="A9" s="10"/>
      <c r="B9" s="11"/>
      <c r="C9" s="11"/>
      <c r="D9" s="12"/>
      <c r="E9" s="13"/>
      <c r="F9" s="14" t="str">
        <f t="shared" ref="F9:F15" si="0">IF(D9&lt;&gt;"",E9/D9,"")</f>
        <v/>
      </c>
      <c r="G9" s="13"/>
      <c r="H9" s="15" t="str">
        <f t="shared" ref="H9:H13" si="1">IF(E9&lt;&gt;"",IF( E9&lt;&gt;0,G9/E9,0),"")</f>
        <v/>
      </c>
      <c r="I9" s="27"/>
      <c r="J9" s="27"/>
      <c r="K9" s="26"/>
      <c r="L9" s="15" t="str">
        <f>IF(I9 &lt;&gt; "", I9/$E9, "")</f>
        <v/>
      </c>
      <c r="M9" s="15" t="str">
        <f>IF(J9 &lt;&gt; "", J9/$E9, "")</f>
        <v/>
      </c>
      <c r="N9" s="15" t="str">
        <f>IF(K9 &lt;&gt; "", K9/$E9, "")</f>
        <v/>
      </c>
      <c r="O9" s="13"/>
      <c r="P9" s="15" t="str">
        <f t="shared" ref="P9:P13" si="2">IF(O9 &lt;&gt; "", IF( E9&lt;&gt;0,O9/E9,0), "")</f>
        <v/>
      </c>
      <c r="Q9" s="13" t="str">
        <f>IF(K9&lt;&gt;"",K9-Z9,IF(E9&lt;&gt;"",E9-Z9,""))</f>
        <v/>
      </c>
      <c r="R9" s="16"/>
      <c r="S9" s="16"/>
      <c r="T9" s="16"/>
      <c r="U9" s="16"/>
      <c r="V9" s="16"/>
      <c r="W9" s="16"/>
      <c r="X9" s="16"/>
      <c r="Y9" s="17" t="str">
        <f t="shared" ref="Y9:Y13" si="3">IF(K9&lt;&gt;"",(R9+S9+T9+U9+V9+W9+X9)/K9,IF(E9&lt;&gt;"",IF(E9&lt;&gt;0,(R9+S9+T9+U9+V9+W9+X9)/E9,0),""))</f>
        <v/>
      </c>
      <c r="Z9" s="16" t="str">
        <f>IF(Y9&lt;&gt;"",R9+S9+T9+U9+V9+W9+X9,"")</f>
        <v/>
      </c>
      <c r="AA9" s="30"/>
      <c r="AB9" s="30"/>
      <c r="AC9" s="18"/>
      <c r="AD9" s="18"/>
      <c r="AE9" s="19"/>
    </row>
    <row r="10" spans="1:31" ht="16" x14ac:dyDescent="0.2">
      <c r="A10" s="10"/>
      <c r="B10" s="11"/>
      <c r="C10" s="11"/>
      <c r="D10" s="12"/>
      <c r="E10" s="13"/>
      <c r="F10" s="14" t="str">
        <f t="shared" si="0"/>
        <v/>
      </c>
      <c r="G10" s="13"/>
      <c r="H10" s="15" t="str">
        <f t="shared" si="1"/>
        <v/>
      </c>
      <c r="I10" s="28"/>
      <c r="J10" s="26"/>
      <c r="K10" s="26"/>
      <c r="L10" s="15" t="str">
        <f t="shared" ref="L10:L13" si="4">IF(I10 &lt;&gt; "", I10/$E10, "")</f>
        <v/>
      </c>
      <c r="M10" s="15" t="str">
        <f t="shared" ref="M10:M13" si="5">IF(J10 &lt;&gt; "", J10/$E10, "")</f>
        <v/>
      </c>
      <c r="N10" s="15" t="str">
        <f t="shared" ref="N10:N13" si="6">IF(K10 &lt;&gt; "", K10/$E10, "")</f>
        <v/>
      </c>
      <c r="O10" s="13"/>
      <c r="P10" s="15" t="str">
        <f t="shared" si="2"/>
        <v/>
      </c>
      <c r="Q10" s="13" t="str">
        <f t="shared" ref="Q10:Q16" si="7">IF(K10&lt;&gt;"",K10-Z10,IF(E10&lt;&gt;"",E10-Z10,""))</f>
        <v/>
      </c>
      <c r="R10" s="16"/>
      <c r="S10" s="16"/>
      <c r="T10" s="16"/>
      <c r="U10" s="16"/>
      <c r="V10" s="16"/>
      <c r="W10" s="16"/>
      <c r="X10" s="16"/>
      <c r="Y10" s="17" t="str">
        <f t="shared" si="3"/>
        <v/>
      </c>
      <c r="Z10" s="16" t="str">
        <f t="shared" ref="Z10:Z15" si="8">IF(Y10&lt;&gt;"",R10+S10+T10+U10+V10+W10+X10,"")</f>
        <v/>
      </c>
      <c r="AA10" s="30"/>
      <c r="AB10" s="30"/>
      <c r="AC10" s="18"/>
      <c r="AD10" s="18"/>
      <c r="AE10" s="19"/>
    </row>
    <row r="11" spans="1:31" ht="16" x14ac:dyDescent="0.2">
      <c r="A11" s="10"/>
      <c r="B11" s="11"/>
      <c r="C11" s="11"/>
      <c r="D11" s="12"/>
      <c r="E11" s="13"/>
      <c r="F11" s="14" t="str">
        <f t="shared" si="0"/>
        <v/>
      </c>
      <c r="G11" s="13"/>
      <c r="H11" s="15" t="str">
        <f t="shared" si="1"/>
        <v/>
      </c>
      <c r="I11" s="26"/>
      <c r="J11" s="26"/>
      <c r="K11" s="26"/>
      <c r="L11" s="15" t="str">
        <f t="shared" si="4"/>
        <v/>
      </c>
      <c r="M11" s="15" t="str">
        <f t="shared" si="5"/>
        <v/>
      </c>
      <c r="N11" s="15" t="str">
        <f t="shared" si="6"/>
        <v/>
      </c>
      <c r="O11" s="13"/>
      <c r="P11" s="15" t="str">
        <f t="shared" si="2"/>
        <v/>
      </c>
      <c r="Q11" s="13" t="str">
        <f t="shared" si="7"/>
        <v/>
      </c>
      <c r="R11" s="16"/>
      <c r="S11" s="16"/>
      <c r="T11" s="16"/>
      <c r="U11" s="16"/>
      <c r="V11" s="16"/>
      <c r="W11" s="16"/>
      <c r="X11" s="16"/>
      <c r="Y11" s="17" t="str">
        <f t="shared" si="3"/>
        <v/>
      </c>
      <c r="Z11" s="16" t="str">
        <f t="shared" si="8"/>
        <v/>
      </c>
      <c r="AA11" s="30"/>
      <c r="AB11" s="30"/>
      <c r="AC11" s="18"/>
      <c r="AD11" s="18"/>
      <c r="AE11" s="19"/>
    </row>
    <row r="12" spans="1:31" ht="16" x14ac:dyDescent="0.2">
      <c r="A12" s="10"/>
      <c r="B12" s="11"/>
      <c r="C12" s="11"/>
      <c r="D12" s="12"/>
      <c r="E12" s="13"/>
      <c r="F12" s="14" t="str">
        <f t="shared" si="0"/>
        <v/>
      </c>
      <c r="G12" s="13"/>
      <c r="H12" s="15" t="str">
        <f t="shared" si="1"/>
        <v/>
      </c>
      <c r="I12" s="26"/>
      <c r="J12" s="26"/>
      <c r="K12" s="26"/>
      <c r="L12" s="15" t="str">
        <f t="shared" si="4"/>
        <v/>
      </c>
      <c r="M12" s="15" t="str">
        <f t="shared" si="5"/>
        <v/>
      </c>
      <c r="N12" s="15" t="str">
        <f t="shared" si="6"/>
        <v/>
      </c>
      <c r="O12" s="13"/>
      <c r="P12" s="15" t="str">
        <f t="shared" si="2"/>
        <v/>
      </c>
      <c r="Q12" s="13" t="str">
        <f t="shared" si="7"/>
        <v/>
      </c>
      <c r="R12" s="16"/>
      <c r="S12" s="16"/>
      <c r="T12" s="16"/>
      <c r="U12" s="16"/>
      <c r="V12" s="16"/>
      <c r="W12" s="16"/>
      <c r="X12" s="16"/>
      <c r="Y12" s="17" t="str">
        <f t="shared" si="3"/>
        <v/>
      </c>
      <c r="Z12" s="16" t="str">
        <f t="shared" si="8"/>
        <v/>
      </c>
      <c r="AA12" s="30"/>
      <c r="AB12" s="30"/>
      <c r="AC12" s="18"/>
      <c r="AD12" s="18"/>
      <c r="AE12" s="19"/>
    </row>
    <row r="13" spans="1:31" ht="16" x14ac:dyDescent="0.2">
      <c r="A13" s="10"/>
      <c r="B13" s="11"/>
      <c r="C13" s="11"/>
      <c r="D13" s="22"/>
      <c r="E13" s="13"/>
      <c r="F13" s="14" t="str">
        <f t="shared" si="0"/>
        <v/>
      </c>
      <c r="G13" s="13"/>
      <c r="H13" s="15" t="str">
        <f t="shared" si="1"/>
        <v/>
      </c>
      <c r="I13" s="26"/>
      <c r="J13" s="26"/>
      <c r="K13" s="26"/>
      <c r="L13" s="15" t="str">
        <f t="shared" si="4"/>
        <v/>
      </c>
      <c r="M13" s="15" t="str">
        <f t="shared" si="5"/>
        <v/>
      </c>
      <c r="N13" s="15" t="str">
        <f t="shared" si="6"/>
        <v/>
      </c>
      <c r="O13" s="13"/>
      <c r="P13" s="15" t="str">
        <f t="shared" si="2"/>
        <v/>
      </c>
      <c r="Q13" s="13" t="str">
        <f t="shared" si="7"/>
        <v/>
      </c>
      <c r="R13" s="16"/>
      <c r="S13" s="16"/>
      <c r="T13" s="16"/>
      <c r="U13" s="16"/>
      <c r="V13" s="16"/>
      <c r="W13" s="16"/>
      <c r="X13" s="16"/>
      <c r="Y13" s="17" t="str">
        <f t="shared" si="3"/>
        <v/>
      </c>
      <c r="Z13" s="16" t="str">
        <f t="shared" si="8"/>
        <v/>
      </c>
      <c r="AA13" s="30"/>
      <c r="AB13" s="30"/>
      <c r="AC13" s="18"/>
      <c r="AD13" s="18"/>
      <c r="AE13" s="19"/>
    </row>
    <row r="14" spans="1:31" ht="15" customHeight="1" x14ac:dyDescent="0.2">
      <c r="A14" s="10"/>
      <c r="B14" s="11"/>
      <c r="C14" s="11"/>
      <c r="D14" s="22"/>
      <c r="E14" s="13"/>
      <c r="F14" s="14" t="str">
        <f t="shared" si="0"/>
        <v/>
      </c>
      <c r="G14" s="13"/>
      <c r="H14" s="15" t="str">
        <f>IF(E14&lt;&gt;"",IF( E14&lt;&gt;0,G14/E14,0),"")</f>
        <v/>
      </c>
      <c r="I14" s="26"/>
      <c r="J14" s="26"/>
      <c r="K14" s="26"/>
      <c r="L14" s="15" t="str">
        <f t="shared" ref="L14:L15" si="9">IF(I14 &lt;&gt; "", I14/$E14, "")</f>
        <v/>
      </c>
      <c r="M14" s="15" t="str">
        <f t="shared" ref="M14:M15" si="10">IF(J14 &lt;&gt; "", J14/$E14, "")</f>
        <v/>
      </c>
      <c r="N14" s="15" t="str">
        <f t="shared" ref="N14:N15" si="11">IF(K14 &lt;&gt; "", K14/$E14, "")</f>
        <v/>
      </c>
      <c r="O14" s="13"/>
      <c r="P14" s="15" t="str">
        <f>IF(O14 &lt;&gt; "", IF( E14&lt;&gt;0,O14/E14,0), "")</f>
        <v/>
      </c>
      <c r="Q14" s="13" t="str">
        <f t="shared" si="7"/>
        <v/>
      </c>
      <c r="R14" s="16"/>
      <c r="S14" s="16"/>
      <c r="T14" s="16"/>
      <c r="U14" s="16"/>
      <c r="V14" s="16"/>
      <c r="W14" s="16"/>
      <c r="X14" s="16"/>
      <c r="Y14" s="17" t="str">
        <f>IF(K14&lt;&gt;"",(R14+S14+T14+U14+V14+W14+X14)/K14,IF(E14&lt;&gt;"",IF(E14&lt;&gt;0,(R14+S14+T14+U14+V14+W14+X14)/E14,0),""))</f>
        <v/>
      </c>
      <c r="Z14" s="16" t="str">
        <f t="shared" si="8"/>
        <v/>
      </c>
      <c r="AA14" s="29"/>
      <c r="AB14" s="29"/>
      <c r="AC14" s="18"/>
      <c r="AD14" s="18"/>
      <c r="AE14" s="19"/>
    </row>
    <row r="15" spans="1:31" ht="15.75" customHeight="1" x14ac:dyDescent="0.2">
      <c r="A15" s="10"/>
      <c r="B15" s="11"/>
      <c r="C15" s="11"/>
      <c r="D15" s="22"/>
      <c r="E15" s="13"/>
      <c r="F15" s="14" t="str">
        <f t="shared" si="0"/>
        <v/>
      </c>
      <c r="G15" s="13"/>
      <c r="H15" s="15" t="str">
        <f t="shared" ref="H15:H16" si="12">IF(E15&lt;&gt;"",IF( E15&lt;&gt;0,G15/E15,0),"")</f>
        <v/>
      </c>
      <c r="I15" s="26"/>
      <c r="J15" s="26"/>
      <c r="K15" s="26"/>
      <c r="L15" s="15" t="str">
        <f t="shared" si="9"/>
        <v/>
      </c>
      <c r="M15" s="15" t="str">
        <f t="shared" si="10"/>
        <v/>
      </c>
      <c r="N15" s="15" t="str">
        <f t="shared" si="11"/>
        <v/>
      </c>
      <c r="O15" s="13"/>
      <c r="P15" s="15" t="str">
        <f t="shared" ref="P15:P16" si="13">IF(O15 &lt;&gt; "", IF( E15&lt;&gt;0,O15/E15,0), "")</f>
        <v/>
      </c>
      <c r="Q15" s="13" t="str">
        <f t="shared" si="7"/>
        <v/>
      </c>
      <c r="R15" s="16"/>
      <c r="S15" s="16"/>
      <c r="T15" s="16"/>
      <c r="U15" s="16"/>
      <c r="V15" s="16"/>
      <c r="W15" s="16"/>
      <c r="X15" s="16"/>
      <c r="Y15" s="17" t="str">
        <f t="shared" ref="Y15:Y16" si="14">IF(K15&lt;&gt;"",(R15+S15+T15+U15+V15+W15+X15)/K15,IF(E15&lt;&gt;"",IF(E15&lt;&gt;0,(R15+S15+T15+U15+V15+W15+X15)/E15,0),""))</f>
        <v/>
      </c>
      <c r="Z15" s="16" t="str">
        <f t="shared" si="8"/>
        <v/>
      </c>
      <c r="AA15" s="30"/>
      <c r="AB15" s="30"/>
      <c r="AC15" s="18"/>
      <c r="AD15" s="18"/>
      <c r="AE15" s="19"/>
    </row>
    <row r="16" spans="1:31" ht="15.75" customHeight="1" x14ac:dyDescent="0.2">
      <c r="A16" s="10"/>
      <c r="B16" s="11"/>
      <c r="C16" s="11"/>
      <c r="D16" s="22"/>
      <c r="E16" s="13"/>
      <c r="F16" s="14" t="str">
        <f t="shared" ref="F16" si="15">IF(D16&lt;&gt;"",E16/D16,"")</f>
        <v/>
      </c>
      <c r="G16" s="13"/>
      <c r="H16" s="15" t="str">
        <f t="shared" si="12"/>
        <v/>
      </c>
      <c r="I16" s="26"/>
      <c r="J16" s="26"/>
      <c r="K16" s="26"/>
      <c r="L16" s="15" t="str">
        <f t="shared" ref="L16" si="16">IF(I16 &lt;&gt; "", I16/$E16, "")</f>
        <v/>
      </c>
      <c r="M16" s="15" t="str">
        <f t="shared" ref="M16" si="17">IF(J16 &lt;&gt; "", J16/$E16, "")</f>
        <v/>
      </c>
      <c r="N16" s="15" t="str">
        <f t="shared" ref="N16" si="18">IF(K16 &lt;&gt; "", K16/$E16, "")</f>
        <v/>
      </c>
      <c r="O16" s="13"/>
      <c r="P16" s="15" t="str">
        <f t="shared" si="13"/>
        <v/>
      </c>
      <c r="Q16" s="13" t="str">
        <f t="shared" si="7"/>
        <v/>
      </c>
      <c r="R16" s="16"/>
      <c r="S16" s="16"/>
      <c r="T16" s="16"/>
      <c r="U16" s="16"/>
      <c r="V16" s="16"/>
      <c r="W16" s="16"/>
      <c r="X16" s="16"/>
      <c r="Y16" s="17" t="str">
        <f t="shared" si="14"/>
        <v/>
      </c>
      <c r="Z16" s="16" t="str">
        <f t="shared" ref="Z16" si="19">IF(Y16&lt;&gt;"",R16+S16+T16+U16+V16+W16+X16,"")</f>
        <v/>
      </c>
      <c r="AA16" s="30"/>
      <c r="AB16" s="30"/>
      <c r="AC16" s="18"/>
      <c r="AD16" s="18"/>
      <c r="AE16" s="19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1">
    <mergeCell ref="B7:AE7"/>
  </mergeCells>
  <phoneticPr fontId="10" type="noConversion"/>
  <dataValidations count="1">
    <dataValidation type="list" allowBlank="1" sqref="C9:C16" xr:uid="{9D27935B-9FE2-394D-9A29-1AACB3C39212}">
      <formula1>"CPM,CPV,CPC,Diária,Mensal,Período,Quinzenal"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1" width="17.6640625" customWidth="1"/>
    <col min="2" max="2" width="10" customWidth="1"/>
    <col min="3" max="3" width="16.1640625" customWidth="1"/>
    <col min="4" max="4" width="17.33203125" customWidth="1"/>
    <col min="5" max="5" width="20.83203125" customWidth="1"/>
    <col min="6" max="6" width="12.33203125" customWidth="1"/>
    <col min="7" max="26" width="21.1640625" customWidth="1"/>
  </cols>
  <sheetData>
    <row r="1" spans="1:26" ht="30" customHeight="1" x14ac:dyDescent="0.2">
      <c r="A1" s="20" t="s">
        <v>34</v>
      </c>
      <c r="B1" s="20" t="s">
        <v>35</v>
      </c>
      <c r="C1" s="20" t="s">
        <v>36</v>
      </c>
      <c r="D1" s="20" t="s">
        <v>23</v>
      </c>
      <c r="E1" s="20" t="s">
        <v>37</v>
      </c>
      <c r="F1" s="20" t="s">
        <v>38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6" x14ac:dyDescent="0.2">
      <c r="A2" s="10"/>
      <c r="B2" s="11"/>
      <c r="C2" s="11"/>
      <c r="D2" s="22"/>
      <c r="E2" s="22"/>
      <c r="F2" s="14"/>
      <c r="G2" s="23"/>
      <c r="H2" s="24"/>
      <c r="I2" s="23"/>
      <c r="J2" s="24"/>
      <c r="K2" s="23"/>
      <c r="L2" s="24"/>
      <c r="M2" s="23"/>
      <c r="N2" s="23"/>
      <c r="O2" s="23"/>
      <c r="P2" s="23"/>
      <c r="Q2" s="23"/>
      <c r="R2" s="23"/>
      <c r="S2" s="23"/>
      <c r="T2" s="23"/>
      <c r="U2" s="23"/>
      <c r="V2" s="24"/>
      <c r="W2" s="23"/>
      <c r="X2" s="24"/>
      <c r="Y2" s="25"/>
      <c r="Z2" s="25"/>
    </row>
    <row r="3" spans="1:26" ht="16" x14ac:dyDescent="0.2">
      <c r="A3" s="10"/>
      <c r="B3" s="11"/>
      <c r="C3" s="11"/>
      <c r="D3" s="22"/>
      <c r="E3" s="22"/>
      <c r="F3" s="14"/>
      <c r="G3" s="23"/>
      <c r="H3" s="24"/>
      <c r="I3" s="23"/>
      <c r="J3" s="24"/>
      <c r="K3" s="23"/>
      <c r="L3" s="24"/>
      <c r="M3" s="23"/>
      <c r="N3" s="23"/>
      <c r="O3" s="23"/>
      <c r="P3" s="23"/>
      <c r="Q3" s="23"/>
      <c r="R3" s="23"/>
      <c r="S3" s="23"/>
      <c r="T3" s="23"/>
      <c r="U3" s="23"/>
      <c r="V3" s="24"/>
      <c r="W3" s="23"/>
      <c r="X3" s="24"/>
      <c r="Y3" s="25"/>
      <c r="Z3" s="25"/>
    </row>
    <row r="4" spans="1:26" ht="16" x14ac:dyDescent="0.2">
      <c r="A4" s="10"/>
      <c r="B4" s="11"/>
      <c r="C4" s="11"/>
      <c r="D4" s="22"/>
      <c r="E4" s="22"/>
      <c r="F4" s="14"/>
      <c r="G4" s="23"/>
      <c r="H4" s="24"/>
      <c r="I4" s="23"/>
      <c r="J4" s="24"/>
      <c r="K4" s="23"/>
      <c r="L4" s="24"/>
      <c r="M4" s="23"/>
      <c r="N4" s="23"/>
      <c r="O4" s="23"/>
      <c r="P4" s="23"/>
      <c r="Q4" s="23"/>
      <c r="R4" s="23"/>
      <c r="S4" s="23"/>
      <c r="T4" s="23"/>
      <c r="U4" s="23"/>
      <c r="V4" s="24"/>
      <c r="W4" s="23"/>
      <c r="X4" s="24"/>
      <c r="Y4" s="25"/>
      <c r="Z4" s="25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qref="C2:C4" xr:uid="{00000000-0002-0000-0100-000000000000}">
      <formula1>"CPM,CPV,CPC,Diária,Mensal,Período,Quinzenal"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- Geral</vt:lpstr>
      <vt:lpstr>Verification por ID -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</cp:lastModifiedBy>
  <dcterms:created xsi:type="dcterms:W3CDTF">2026-03-23T21:08:00Z</dcterms:created>
  <dcterms:modified xsi:type="dcterms:W3CDTF">2026-05-20T13:11:10Z</dcterms:modified>
</cp:coreProperties>
</file>
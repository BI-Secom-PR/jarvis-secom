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Volumes/SSD_CESAR/Developer/Secom/oracle/jarvis_ui/verification/"/>
    </mc:Choice>
  </mc:AlternateContent>
  <xr:revisionPtr revIDLastSave="0" documentId="13_ncr:1_{9872D9E3-4293-E649-8479-6D0987566418}" xr6:coauthVersionLast="47" xr6:coauthVersionMax="47" xr10:uidLastSave="{00000000-0000-0000-0000-000000000000}"/>
  <bookViews>
    <workbookView xWindow="-38400" yWindow="-3000" windowWidth="38400" windowHeight="21000" xr2:uid="{00000000-000D-0000-FFFF-FFFF00000000}"/>
  </bookViews>
  <sheets>
    <sheet name="Verification - Geral" sheetId="1" r:id="rId1"/>
    <sheet name="Verification por ID - Ger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W11" i="1"/>
  <c r="W10" i="1"/>
  <c r="X9" i="1"/>
  <c r="F9" i="1"/>
  <c r="L9" i="1"/>
  <c r="V9" i="1"/>
  <c r="V10" i="1"/>
  <c r="V11" i="1"/>
  <c r="L10" i="1"/>
  <c r="L11" i="1"/>
  <c r="X11" i="1"/>
  <c r="J11" i="1"/>
  <c r="H11" i="1"/>
  <c r="F11" i="1"/>
  <c r="X10" i="1"/>
  <c r="J10" i="1"/>
  <c r="H10" i="1"/>
  <c r="F10" i="1"/>
  <c r="J9" i="1"/>
  <c r="H9" i="1"/>
</calcChain>
</file>

<file path=xl/sharedStrings.xml><?xml version="1.0" encoding="utf-8"?>
<sst xmlns="http://schemas.openxmlformats.org/spreadsheetml/2006/main" count="43" uniqueCount="42">
  <si>
    <t>Cliente</t>
  </si>
  <si>
    <t>SECOM</t>
  </si>
  <si>
    <t>Agência</t>
  </si>
  <si>
    <t>Campanha</t>
  </si>
  <si>
    <t>Período</t>
  </si>
  <si>
    <t>Categorias indevidas</t>
  </si>
  <si>
    <t>Acidente | Violência | Língua Estrangeira | Pornografia | Safeframe | Aplicativo Móvel | Teste de Tag | Não Classificado</t>
  </si>
  <si>
    <t>VERIFICATION</t>
  </si>
  <si>
    <t>Veículo</t>
  </si>
  <si>
    <t>Praça</t>
  </si>
  <si>
    <t>Tipo de Compra</t>
  </si>
  <si>
    <t>Contratado</t>
  </si>
  <si>
    <t>Impressões</t>
  </si>
  <si>
    <t>% Entregue</t>
  </si>
  <si>
    <t>Cliques</t>
  </si>
  <si>
    <t>CTR</t>
  </si>
  <si>
    <t>Views</t>
  </si>
  <si>
    <t>VTR</t>
  </si>
  <si>
    <t>Entregas Válidas</t>
  </si>
  <si>
    <t>Língua Estrangeira</t>
  </si>
  <si>
    <t>Safeframe</t>
  </si>
  <si>
    <t>Aplicativo Móvel</t>
  </si>
  <si>
    <t>Teste de Tag</t>
  </si>
  <si>
    <t>Não Classificado</t>
  </si>
  <si>
    <t>% Indevidas</t>
  </si>
  <si>
    <t>Total Indevidas</t>
  </si>
  <si>
    <t>Dif%</t>
  </si>
  <si>
    <t>Data Inicial</t>
  </si>
  <si>
    <t>Data Final</t>
  </si>
  <si>
    <t>Devolutiva BI SECOM</t>
  </si>
  <si>
    <t>Devolutiva Agência</t>
  </si>
  <si>
    <t>URL info</t>
  </si>
  <si>
    <t>VA</t>
  </si>
  <si>
    <t>VA%</t>
  </si>
  <si>
    <t>Veículo/ID</t>
  </si>
  <si>
    <t>Válido</t>
  </si>
  <si>
    <t>Impróprios</t>
  </si>
  <si>
    <t>Indeterminados</t>
  </si>
  <si>
    <t>Total</t>
  </si>
  <si>
    <t>Sexo, Sexualidadem e Pornografia</t>
  </si>
  <si>
    <t>Conteúdo Sensível</t>
  </si>
  <si>
    <t>Policial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</si>
</sst>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BEBEB"/>
      </patternFill>
    </fill>
    <fill>
      <patternFill patternType="solid">
        <fgColor rgb="FFFDDCB5"/>
      </patternFill>
    </fill>
    <fill>
      <patternFill patternType="solid">
        <fgColor rgb="FFFFF3CC"/>
      </patternFill>
    </fill>
    <fill>
      <patternFill patternType="solid">
        <fgColor rgb="FFF8BBBB"/>
      </patternFill>
    </fill>
    <fill>
      <patternFill patternType="solid">
        <fgColor rgb="FFC5D9F5"/>
      </patternFill>
    </fill>
    <fill>
      <patternFill patternType="solid">
        <fgColor rgb="FFFFE5A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topLeftCell="D1" workbookViewId="0">
      <selection activeCell="P9" sqref="P9"/>
    </sheetView>
  </sheetViews>
  <sheetFormatPr baseColWidth="10" defaultColWidth="8.83203125" defaultRowHeight="15" x14ac:dyDescent="0.2"/>
  <cols>
    <col min="1" max="1" width="30" customWidth="1"/>
    <col min="2" max="2" width="8" customWidth="1"/>
    <col min="3" max="5" width="14" customWidth="1"/>
    <col min="6" max="6" width="11.83203125" customWidth="1"/>
    <col min="7" max="7" width="10" customWidth="1"/>
    <col min="8" max="8" width="8" customWidth="1"/>
    <col min="9" max="9" width="10" customWidth="1"/>
    <col min="10" max="10" width="8" customWidth="1"/>
    <col min="11" max="11" width="12" customWidth="1"/>
    <col min="12" max="13" width="14" customWidth="1"/>
    <col min="14" max="14" width="22.83203125" bestFit="1" customWidth="1"/>
    <col min="15" max="15" width="16.6640625" bestFit="1" customWidth="1"/>
    <col min="16" max="16" width="12" customWidth="1"/>
    <col min="17" max="17" width="17.1640625" bestFit="1" customWidth="1"/>
    <col min="18" max="18" width="12" customWidth="1"/>
    <col min="19" max="19" width="14" customWidth="1"/>
    <col min="20" max="20" width="12" customWidth="1"/>
    <col min="21" max="21" width="14" customWidth="1"/>
    <col min="22" max="22" width="12" customWidth="1"/>
    <col min="23" max="23" width="14" customWidth="1"/>
    <col min="24" max="24" width="8" customWidth="1"/>
    <col min="25" max="26" width="12" customWidth="1"/>
    <col min="27" max="28" width="40" customWidth="1"/>
    <col min="29" max="29" width="35" customWidth="1"/>
  </cols>
  <sheetData>
    <row r="1" spans="1:29" ht="16" x14ac:dyDescent="0.2">
      <c r="A1" s="1" t="s">
        <v>0</v>
      </c>
      <c r="B1" s="2" t="s">
        <v>1</v>
      </c>
    </row>
    <row r="2" spans="1:29" ht="16" x14ac:dyDescent="0.2">
      <c r="A2" s="1" t="s">
        <v>2</v>
      </c>
      <c r="B2" s="2"/>
    </row>
    <row r="3" spans="1:29" ht="16" x14ac:dyDescent="0.2">
      <c r="A3" s="1" t="s">
        <v>3</v>
      </c>
      <c r="B3" s="2"/>
    </row>
    <row r="4" spans="1:29" ht="16" x14ac:dyDescent="0.2">
      <c r="A4" s="1" t="s">
        <v>4</v>
      </c>
      <c r="B4" s="2"/>
    </row>
    <row r="5" spans="1:29" ht="16" x14ac:dyDescent="0.2">
      <c r="A5" s="1" t="s">
        <v>5</v>
      </c>
      <c r="B5" s="2" t="s">
        <v>6</v>
      </c>
    </row>
    <row r="7" spans="1:29" ht="22" customHeight="1" x14ac:dyDescent="0.2">
      <c r="A7" s="27" t="s">
        <v>7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spans="1:29" ht="30" customHeight="1" x14ac:dyDescent="0.2">
      <c r="A8" s="3" t="s">
        <v>8</v>
      </c>
      <c r="B8" s="3" t="s">
        <v>9</v>
      </c>
      <c r="C8" s="3" t="s">
        <v>10</v>
      </c>
      <c r="D8" s="3" t="s">
        <v>11</v>
      </c>
      <c r="E8" s="4" t="s">
        <v>12</v>
      </c>
      <c r="F8" s="3" t="s">
        <v>13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32</v>
      </c>
      <c r="L8" s="4" t="s">
        <v>33</v>
      </c>
      <c r="M8" s="4" t="s">
        <v>18</v>
      </c>
      <c r="N8" s="5" t="s">
        <v>40</v>
      </c>
      <c r="O8" s="5" t="s">
        <v>19</v>
      </c>
      <c r="P8" s="5" t="s">
        <v>41</v>
      </c>
      <c r="Q8" s="5" t="s">
        <v>39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6" t="s">
        <v>26</v>
      </c>
      <c r="Y8" s="5" t="s">
        <v>27</v>
      </c>
      <c r="Z8" s="5" t="s">
        <v>28</v>
      </c>
      <c r="AA8" s="7" t="s">
        <v>29</v>
      </c>
      <c r="AB8" s="7" t="s">
        <v>31</v>
      </c>
      <c r="AC8" s="8" t="s">
        <v>30</v>
      </c>
    </row>
    <row r="9" spans="1:29" ht="16" x14ac:dyDescent="0.2">
      <c r="A9" s="9"/>
      <c r="B9" s="10"/>
      <c r="C9" s="10"/>
      <c r="D9" s="11"/>
      <c r="E9" s="12"/>
      <c r="F9" s="13" t="str">
        <f>IF(D9&lt;&gt;"",E9/D9,"")</f>
        <v/>
      </c>
      <c r="G9" s="12"/>
      <c r="H9" s="14" t="str">
        <f>IF(E9&lt;&gt;"",G9/E9,"")</f>
        <v/>
      </c>
      <c r="I9" s="12"/>
      <c r="J9" s="14" t="str">
        <f>IF(AND(I9&lt;&gt;"",E9&lt;&gt;""),I9/E9,"")</f>
        <v/>
      </c>
      <c r="K9" s="12"/>
      <c r="L9" s="14" t="str">
        <f>IF(K9 &lt;&gt; "", K9/E9, "")</f>
        <v/>
      </c>
      <c r="M9" s="14"/>
      <c r="N9" s="15"/>
      <c r="O9" s="15"/>
      <c r="P9" s="15"/>
      <c r="Q9" s="15"/>
      <c r="R9" s="15"/>
      <c r="S9" s="15"/>
      <c r="T9" s="15"/>
      <c r="U9" s="15"/>
      <c r="V9" s="16" t="str">
        <f>IF(I9&lt;&gt;"",(#REF!+#REF!+N9+O9+P9+Q9+R9+S9+T9+U9)/I9,IF(E9&lt;&gt;"",(#REF!+#REF!+N9+O9+P9+Q9+R9+S9+T9+U9)/E9,""))</f>
        <v/>
      </c>
      <c r="W9" s="15" t="str">
        <f>IF(I9&lt;&gt;"",(N9+O9+P9+Q9+R9+S9+T9+U9+V9+W9)/I9,IF(E9&lt;&gt;"",(N9+O9+P9+Q9+R9+S9+T9+U9+V9+W9)/E9,""))</f>
        <v/>
      </c>
      <c r="X9" s="17" t="str">
        <f>IF(D9&lt;&gt;"",(E9-D9)/D9,"")</f>
        <v/>
      </c>
      <c r="Y9" s="18"/>
      <c r="Z9" s="18"/>
      <c r="AA9" s="19"/>
      <c r="AB9" s="19"/>
      <c r="AC9" s="20"/>
    </row>
    <row r="10" spans="1:29" ht="16" x14ac:dyDescent="0.2">
      <c r="A10" s="9"/>
      <c r="B10" s="10"/>
      <c r="C10" s="10"/>
      <c r="D10" s="11"/>
      <c r="E10" s="12"/>
      <c r="F10" s="13" t="str">
        <f>IF(D10&lt;&gt;"",E10/D10,"")</f>
        <v/>
      </c>
      <c r="G10" s="12"/>
      <c r="H10" s="14" t="str">
        <f>IF(E10&lt;&gt;"",G10/E10,"")</f>
        <v/>
      </c>
      <c r="I10" s="12"/>
      <c r="J10" s="14" t="str">
        <f>IF(AND(I10&lt;&gt;"",E10&lt;&gt;""),I10/E10,"")</f>
        <v/>
      </c>
      <c r="K10" s="12"/>
      <c r="L10" s="14" t="str">
        <f t="shared" ref="L10:L11" si="0">IF(K10 &lt;&gt; "", K10/E10, "")</f>
        <v/>
      </c>
      <c r="M10" s="14"/>
      <c r="N10" s="15"/>
      <c r="O10" s="15"/>
      <c r="P10" s="15"/>
      <c r="Q10" s="15"/>
      <c r="R10" s="15"/>
      <c r="S10" s="15"/>
      <c r="T10" s="15"/>
      <c r="U10" s="15"/>
      <c r="V10" s="16" t="str">
        <f>IF(I10&lt;&gt;"",(#REF!+#REF!+N10+O10+P10+Q10+R10+S10+T10+U10)/I10,IF(E10&lt;&gt;"",(#REF!+#REF!+N10+O10+P10+Q10+R10+S10+T10+U10)/E10,""))</f>
        <v/>
      </c>
      <c r="W10" s="15" t="str">
        <f t="shared" ref="W10:W11" si="1">IF(I10&lt;&gt;"",(N10+O10+P10+Q10+R10+S10+T10+U10+V10+W10)/I10,IF(E10&lt;&gt;"",(N10+O10+P10+Q10+R10+S10+T10+U10+V10+W10)/E10,""))</f>
        <v/>
      </c>
      <c r="X10" s="17" t="str">
        <f>IF(D10&lt;&gt;"",(E10-D10)/D10,"")</f>
        <v/>
      </c>
      <c r="Y10" s="18"/>
      <c r="Z10" s="18"/>
      <c r="AA10" s="19"/>
      <c r="AB10" s="19"/>
      <c r="AC10" s="20"/>
    </row>
    <row r="11" spans="1:29" ht="16" x14ac:dyDescent="0.2">
      <c r="A11" s="9"/>
      <c r="B11" s="10"/>
      <c r="C11" s="10"/>
      <c r="D11" s="11"/>
      <c r="E11" s="12"/>
      <c r="F11" s="13" t="str">
        <f>IF(D11&lt;&gt;"",E11/D11,"")</f>
        <v/>
      </c>
      <c r="G11" s="12"/>
      <c r="H11" s="14" t="str">
        <f>IF(E11&lt;&gt;"",G11/E11,"")</f>
        <v/>
      </c>
      <c r="I11" s="12"/>
      <c r="J11" s="14" t="str">
        <f>IF(AND(I11&lt;&gt;"",E11&lt;&gt;""),I11/E11,"")</f>
        <v/>
      </c>
      <c r="K11" s="12"/>
      <c r="L11" s="14" t="str">
        <f t="shared" si="0"/>
        <v/>
      </c>
      <c r="M11" s="14"/>
      <c r="N11" s="15"/>
      <c r="O11" s="15"/>
      <c r="P11" s="15"/>
      <c r="Q11" s="15"/>
      <c r="R11" s="15"/>
      <c r="S11" s="15"/>
      <c r="T11" s="15"/>
      <c r="U11" s="15"/>
      <c r="V11" s="16" t="str">
        <f>IF(I11&lt;&gt;"",(#REF!+#REF!+N11+O11+P11+Q11+R11+S11+T11+U11)/I11,IF(E11&lt;&gt;"",(#REF!+#REF!+N11+O11+P11+Q11+R11+S11+T11+U11)/E11,""))</f>
        <v/>
      </c>
      <c r="W11" s="15" t="str">
        <f t="shared" si="1"/>
        <v/>
      </c>
      <c r="X11" s="17" t="str">
        <f>IF(D11&lt;&gt;"",(E11-D11)/D11,"")</f>
        <v/>
      </c>
      <c r="Y11" s="18"/>
      <c r="Z11" s="18"/>
      <c r="AA11" s="19"/>
      <c r="AB11" s="19"/>
      <c r="AC11" s="20"/>
    </row>
  </sheetData>
  <mergeCells count="1">
    <mergeCell ref="A7:AC7"/>
  </mergeCells>
  <dataValidations disablePrompts="1" count="1">
    <dataValidation type="list" allowBlank="1" sqref="C9:C11" xr:uid="{00000000-0002-0000-0000-000000000000}">
      <formula1>"CPM,CPV,CPC,Diária,Mensal,Período,Quinzenal"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"/>
  <sheetViews>
    <sheetView zoomScaleNormal="100" workbookViewId="0">
      <selection activeCell="C11" sqref="C11"/>
    </sheetView>
  </sheetViews>
  <sheetFormatPr baseColWidth="10" defaultColWidth="21.1640625" defaultRowHeight="15" x14ac:dyDescent="0.2"/>
  <cols>
    <col min="1" max="1" width="17.6640625" customWidth="1"/>
    <col min="2" max="2" width="10" customWidth="1"/>
    <col min="3" max="3" width="16.1640625" customWidth="1"/>
    <col min="4" max="4" width="17.33203125" customWidth="1"/>
    <col min="5" max="5" width="20.83203125" customWidth="1"/>
    <col min="6" max="6" width="12.33203125" customWidth="1"/>
  </cols>
  <sheetData>
    <row r="1" spans="1:28" ht="30" customHeight="1" x14ac:dyDescent="0.2">
      <c r="A1" s="21" t="s">
        <v>34</v>
      </c>
      <c r="B1" s="21" t="s">
        <v>35</v>
      </c>
      <c r="C1" s="21" t="s">
        <v>36</v>
      </c>
      <c r="D1" s="21" t="s">
        <v>20</v>
      </c>
      <c r="E1" s="21" t="s">
        <v>37</v>
      </c>
      <c r="F1" s="21" t="s">
        <v>38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16" x14ac:dyDescent="0.2">
      <c r="A2" s="9"/>
      <c r="B2" s="10"/>
      <c r="C2" s="10"/>
      <c r="D2" s="11"/>
      <c r="E2" s="11"/>
      <c r="F2" s="13"/>
      <c r="G2" s="23"/>
      <c r="H2" s="24"/>
      <c r="I2" s="23"/>
      <c r="J2" s="24"/>
      <c r="K2" s="23"/>
      <c r="L2" s="24"/>
      <c r="M2" s="23"/>
      <c r="N2" s="23"/>
      <c r="O2" s="23"/>
      <c r="P2" s="23"/>
      <c r="Q2" s="23"/>
      <c r="R2" s="23"/>
      <c r="S2" s="23"/>
      <c r="T2" s="23"/>
      <c r="U2" s="23"/>
      <c r="V2" s="24"/>
      <c r="W2" s="23"/>
      <c r="X2" s="24"/>
      <c r="Y2" s="25"/>
      <c r="Z2" s="25"/>
      <c r="AA2" s="26"/>
      <c r="AB2" s="26"/>
    </row>
    <row r="3" spans="1:28" ht="16" x14ac:dyDescent="0.2">
      <c r="A3" s="9"/>
      <c r="B3" s="10"/>
      <c r="C3" s="10"/>
      <c r="D3" s="11"/>
      <c r="E3" s="11"/>
      <c r="F3" s="13"/>
      <c r="G3" s="23"/>
      <c r="H3" s="24"/>
      <c r="I3" s="23"/>
      <c r="J3" s="24"/>
      <c r="K3" s="23"/>
      <c r="L3" s="24"/>
      <c r="M3" s="23"/>
      <c r="N3" s="23"/>
      <c r="O3" s="23"/>
      <c r="P3" s="23"/>
      <c r="Q3" s="23"/>
      <c r="R3" s="23"/>
      <c r="S3" s="23"/>
      <c r="T3" s="23"/>
      <c r="U3" s="23"/>
      <c r="V3" s="24"/>
      <c r="W3" s="23"/>
      <c r="X3" s="24"/>
      <c r="Y3" s="25"/>
      <c r="Z3" s="25"/>
      <c r="AA3" s="26"/>
      <c r="AB3" s="26"/>
    </row>
    <row r="4" spans="1:28" ht="16" x14ac:dyDescent="0.2">
      <c r="A4" s="9"/>
      <c r="B4" s="10"/>
      <c r="C4" s="10"/>
      <c r="D4" s="11"/>
      <c r="E4" s="11"/>
      <c r="F4" s="13"/>
      <c r="G4" s="23"/>
      <c r="H4" s="24"/>
      <c r="I4" s="23"/>
      <c r="J4" s="24"/>
      <c r="K4" s="23"/>
      <c r="L4" s="24"/>
      <c r="M4" s="23"/>
      <c r="N4" s="23"/>
      <c r="O4" s="23"/>
      <c r="P4" s="23"/>
      <c r="Q4" s="23"/>
      <c r="R4" s="23"/>
      <c r="S4" s="23"/>
      <c r="T4" s="23"/>
      <c r="U4" s="23"/>
      <c r="V4" s="24"/>
      <c r="W4" s="23"/>
      <c r="X4" s="24"/>
      <c r="Y4" s="25"/>
      <c r="Z4" s="25"/>
      <c r="AA4" s="26"/>
      <c r="AB4" s="26"/>
    </row>
  </sheetData>
  <dataValidations count="1">
    <dataValidation type="list" allowBlank="1" sqref="C2:C4" xr:uid="{00000000-0002-0000-0100-000000000000}">
      <formula1>"CPM,CPV,CPC,Diária,Mensal,Período,Quinzenal"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Verification - Geral</vt:lpstr>
      <vt:lpstr>Verification por ID -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</cp:lastModifiedBy>
  <dcterms:created xsi:type="dcterms:W3CDTF">2026-03-23T21:08:00Z</dcterms:created>
  <dcterms:modified xsi:type="dcterms:W3CDTF">2026-05-21T21:04:27Z</dcterms:modified>
</cp:coreProperties>
</file>